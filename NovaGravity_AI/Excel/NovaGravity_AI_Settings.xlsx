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- Overview" sheetId="1" state="visible" r:id="rId1"/>
    <sheet name="02 - Full Inputs" sheetId="2" state="visible" r:id="rId2"/>
    <sheet name="02 - Full Inputs1" sheetId="3" state="visible" r:id="rId3"/>
    <sheet name="03 - Risk &amp; MM" sheetId="4" state="visible" r:id="rId4"/>
    <sheet name="04 - Symbol Classes" sheetId="5" state="visible" r:id="rId5"/>
    <sheet name="05 - Friday Weekend" sheetId="6" state="visible" r:id="rId6"/>
    <sheet name="06 - Presets" sheetId="7" state="visible" r:id="rId7"/>
    <sheet name="07 - Runbook" sheetId="8" state="visible" r:id="rId8"/>
    <sheet name="08 - Change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FD3FF"/>
    </font>
    <font>
      <b val="1"/>
      <color rgb="00E8F6FF"/>
      <sz val="11"/>
    </font>
  </fonts>
  <fills count="4">
    <fill>
      <patternFill/>
    </fill>
    <fill>
      <patternFill patternType="gray125"/>
    </fill>
    <fill>
      <patternFill patternType="solid">
        <fgColor rgb="000E1B2E"/>
      </patternFill>
    </fill>
    <fill>
      <patternFill patternType="solid">
        <fgColor rgb="0012263A"/>
      </patternFill>
    </fill>
  </fills>
  <borders count="2">
    <border>
      <left/>
      <right/>
      <top/>
      <bottom/>
      <diagonal/>
    </border>
    <border>
      <left style="thin">
        <color rgb="0024466B"/>
      </left>
      <right style="thin">
        <color rgb="0024466B"/>
      </right>
      <top style="thin">
        <color rgb="0024466B"/>
      </top>
      <bottom style="thin">
        <color rgb="0024466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2">
      <c r="A2" s="1" t="inlineStr">
        <is>
          <t>Bot Name</t>
        </is>
      </c>
      <c r="B2" s="2" t="inlineStr">
        <is>
          <t>NOVA GRAVITY AI</t>
        </is>
      </c>
    </row>
    <row r="3">
      <c r="A3" s="1" t="inlineStr">
        <is>
          <t>Version</t>
        </is>
      </c>
      <c r="B3" s="2" t="inlineStr">
        <is>
          <t>1.00 (Pro)</t>
        </is>
      </c>
    </row>
    <row r="4">
      <c r="A4" s="1" t="inlineStr">
        <is>
          <t>Platform</t>
        </is>
      </c>
      <c r="B4" s="2" t="inlineStr">
        <is>
          <t>MetaTrader 5 (MQL5) - current builds (5100+, tested against build notes up to 5660)</t>
        </is>
      </c>
    </row>
    <row r="5">
      <c r="A5" s="1" t="inlineStr">
        <is>
          <t>Instruments</t>
        </is>
      </c>
      <c r="B5" s="2" t="inlineStr">
        <is>
          <t>Crypto / USDT-linked / Forex / Gold &amp; Metals / Oil &amp; Energy / Indices / Stocks</t>
        </is>
      </c>
    </row>
    <row r="6">
      <c r="A6" s="1" t="inlineStr">
        <is>
          <t>Timeframes</t>
        </is>
      </c>
      <c r="B6" s="2" t="inlineStr">
        <is>
          <t>ALL (M1..MN1) - auto-detected from the chart</t>
        </is>
      </c>
    </row>
    <row r="7">
      <c r="A7" s="1" t="inlineStr">
        <is>
          <t>Auto-Detection</t>
        </is>
      </c>
      <c r="B7" s="2" t="inlineStr">
        <is>
          <t>Symbol class + timeframe are detected automatically when attached to any chart</t>
        </is>
      </c>
    </row>
    <row r="8">
      <c r="A8" s="1" t="inlineStr">
        <is>
          <t>File to compile</t>
        </is>
      </c>
      <c r="B8" s="2" t="inlineStr">
        <is>
          <t>MQL5/Experts/NovaGravity/NovaGravity_AI_EA.mq5</t>
        </is>
      </c>
    </row>
    <row r="9">
      <c r="A9" s="1" t="inlineStr">
        <is>
          <t>Preset set files</t>
        </is>
      </c>
      <c r="B9" s="2" t="inlineStr">
        <is>
          <t>NovaGravity_AI_EA.set (Pro), _Conservative, _Crypto_24-7</t>
        </is>
      </c>
    </row>
    <row r="10">
      <c r="A10" s="1" t="inlineStr">
        <is>
          <t>Core logic</t>
        </is>
      </c>
      <c r="B10" s="2" t="inlineStr">
        <is>
          <t>Pullback continuation: EMA21/55 + RSI + MACD + ADX, HTF alignment, BB mid touch</t>
        </is>
      </c>
    </row>
    <row r="11">
      <c r="A11" s="1" t="inlineStr">
        <is>
          <t>Regime engine</t>
        </is>
      </c>
      <c r="B11" s="2" t="inlineStr">
        <is>
          <t>QUIET=wait / NORMAL=trend / VOLATILE=range-fade only (no breakout)</t>
        </is>
      </c>
    </row>
    <row r="12">
      <c r="A12" s="1" t="inlineStr">
        <is>
          <t>Protection layer</t>
        </is>
      </c>
      <c r="B12" s="2" t="inlineStr">
        <is>
          <t>Friday weekend guard, partial-&gt;breakeven, time-stop, gap filter, news blackout, spread cap, daily loss limit</t>
        </is>
      </c>
    </row>
    <row r="13">
      <c r="A13" s="1" t="inlineStr">
        <is>
          <t>NO (by design)</t>
        </is>
      </c>
      <c r="B13" s="2" t="inlineStr">
        <is>
          <t>Martingale, grid, averaging, 5th indicator, complex news calendar, genetic optimization on gross profit</t>
        </is>
      </c>
    </row>
    <row r="14">
      <c r="A14" s="1" t="inlineStr">
        <is>
          <t>Sizing</t>
        </is>
      </c>
      <c r="B14" s="2" t="inlineStr">
        <is>
          <t>Risk % of balance (or fixed / % free margin), volume rounded to broker VOLUME_STEP</t>
        </is>
      </c>
    </row>
    <row r="15">
      <c r="A15" s="1" t="inlineStr">
        <is>
          <t>Validation metric</t>
        </is>
      </c>
      <c r="B15" s="2" t="inlineStr">
        <is>
          <t>PF x sqrt(trades) / maxDD (unchanged - kept as the reference objective)</t>
        </is>
      </c>
    </row>
    <row r="16">
      <c r="A16" s="1" t="inlineStr">
        <is>
          <t>Disclaimer</t>
        </is>
      </c>
      <c r="B16" s="2" t="inlineStr">
        <is>
          <t>Trading involves risk. Test on demo before live; past performance does not guarantee future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18" customWidth="1" min="4" max="4"/>
    <col width="16" customWidth="1" min="5" max="5"/>
    <col width="52" customWidth="1" min="6" max="6"/>
    <col width="40" customWidth="1" min="7" max="7"/>
  </cols>
  <sheetData>
    <row r="1">
      <c r="A1" s="3" t="inlineStr">
        <is>
          <t>#</t>
        </is>
      </c>
      <c r="B1" s="3" t="inlineStr">
        <is>
          <t>Group</t>
        </is>
      </c>
      <c r="C1" s="3" t="inlineStr">
        <is>
          <t>Input name</t>
        </is>
      </c>
      <c r="D1" s="3" t="inlineStr">
        <is>
          <t>Type</t>
        </is>
      </c>
      <c r="E1" s="3" t="inlineStr">
        <is>
          <t>Default</t>
        </is>
      </c>
      <c r="F1" s="3" t="inlineStr">
        <is>
          <t>Arabic explanation</t>
        </is>
      </c>
      <c r="G1" s="3" t="inlineStr">
        <is>
          <t>Notes</t>
        </is>
      </c>
    </row>
    <row r="2">
      <c r="A2" s="4" t="n">
        <v>1</v>
      </c>
      <c r="B2" s="4">
        <f>==== 01 | GENERAL =====</f>
        <v/>
      </c>
      <c r="C2" s="5" t="inlineStr">
        <is>
          <t>InpID</t>
        </is>
      </c>
      <c r="D2" s="5" t="inlineStr">
        <is>
          <t>string</t>
        </is>
      </c>
      <c r="E2" s="5" t="inlineStr">
        <is>
          <t>"NOVA-GRAVITY-AI"</t>
        </is>
      </c>
      <c r="F2" s="5" t="inlineStr">
        <is>
          <t>EA Instance ID (comment)</t>
        </is>
      </c>
      <c r="G2" s="5" t="inlineStr"/>
    </row>
    <row r="3">
      <c r="A3" s="4" t="n">
        <v>2</v>
      </c>
      <c r="B3" s="4">
        <f>==== 01 | GENERAL =====</f>
        <v/>
      </c>
      <c r="C3" s="5" t="inlineStr">
        <is>
          <t>InpMagicNumber</t>
        </is>
      </c>
      <c r="D3" s="5" t="inlineStr">
        <is>
          <t>long</t>
        </is>
      </c>
      <c r="E3" s="5" t="inlineStr">
        <is>
          <t>345678</t>
        </is>
      </c>
      <c r="F3" s="5" t="inlineStr">
        <is>
          <t>Magic number</t>
        </is>
      </c>
      <c r="G3" s="5" t="inlineStr"/>
    </row>
    <row r="4">
      <c r="A4" s="4" t="n">
        <v>3</v>
      </c>
      <c r="B4" s="4">
        <f>==== 01 | GENERAL =====</f>
        <v/>
      </c>
      <c r="C4" s="5" t="inlineStr">
        <is>
          <t>InpAutoDetectSymbol</t>
        </is>
      </c>
      <c r="D4" s="5" t="inlineStr">
        <is>
          <t>bool</t>
        </is>
      </c>
      <c r="E4" s="5" t="inlineStr">
        <is>
          <t>true</t>
        </is>
      </c>
      <c r="F4" s="5" t="inlineStr">
        <is>
          <t>Auto-detect symbol (chart)</t>
        </is>
      </c>
      <c r="G4" s="5" t="inlineStr"/>
    </row>
    <row r="5">
      <c r="A5" s="4" t="n">
        <v>4</v>
      </c>
      <c r="B5" s="4">
        <f>==== 01 | GENERAL =====</f>
        <v/>
      </c>
      <c r="C5" s="5" t="inlineStr">
        <is>
          <t>InpSymbolOverride</t>
        </is>
      </c>
      <c r="D5" s="5" t="inlineStr">
        <is>
          <t>string</t>
        </is>
      </c>
      <c r="E5" s="5" t="inlineStr">
        <is>
          <t>""</t>
        </is>
      </c>
      <c r="F5" s="5" t="inlineStr">
        <is>
          <t>Force symbol (""=auto)</t>
        </is>
      </c>
      <c r="G5" s="5" t="inlineStr"/>
    </row>
    <row r="6">
      <c r="A6" s="4" t="n">
        <v>5</v>
      </c>
      <c r="B6" s="4">
        <f>==== 01 | GENERAL =====</f>
        <v/>
      </c>
      <c r="C6" s="5" t="inlineStr">
        <is>
          <t>InpAutoDetectTimeframe</t>
        </is>
      </c>
      <c r="D6" s="5" t="inlineStr">
        <is>
          <t>bool</t>
        </is>
      </c>
      <c r="E6" s="5" t="inlineStr">
        <is>
          <t>true</t>
        </is>
      </c>
      <c r="F6" s="5" t="inlineStr">
        <is>
          <t>Auto timeframe (chart)</t>
        </is>
      </c>
      <c r="G6" s="5" t="inlineStr"/>
    </row>
    <row r="7">
      <c r="A7" s="4" t="n">
        <v>6</v>
      </c>
      <c r="B7" s="4">
        <f>==== 01 | GENERAL =====</f>
        <v/>
      </c>
      <c r="C7" s="5" t="inlineStr">
        <is>
          <t>InpTimeframeOverride</t>
        </is>
      </c>
      <c r="D7" s="5" t="inlineStr">
        <is>
          <t>ENUM_TIMEFRAMES</t>
        </is>
      </c>
      <c r="E7" s="5" t="inlineStr">
        <is>
          <t>PERIOD_CURRENT</t>
        </is>
      </c>
      <c r="F7" s="5" t="inlineStr">
        <is>
          <t>Force TF (CURRENT=auto)</t>
        </is>
      </c>
      <c r="G7" s="5" t="inlineStr"/>
    </row>
    <row r="8">
      <c r="A8" s="4" t="n">
        <v>7</v>
      </c>
      <c r="B8" s="4">
        <f>==== 01 | GENERAL =====</f>
        <v/>
      </c>
      <c r="C8" s="5" t="inlineStr">
        <is>
          <t>InpAllowNewTrades</t>
        </is>
      </c>
      <c r="D8" s="5" t="inlineStr">
        <is>
          <t>bool</t>
        </is>
      </c>
      <c r="E8" s="5" t="inlineStr">
        <is>
          <t>true</t>
        </is>
      </c>
      <c r="F8" s="5" t="inlineStr">
        <is>
          <t>Master switch: new entries</t>
        </is>
      </c>
      <c r="G8" s="5" t="inlineStr"/>
    </row>
    <row r="9">
      <c r="A9" s="4" t="n">
        <v>8</v>
      </c>
      <c r="B9" s="4">
        <f>==== 01 | GENERAL =====</f>
        <v/>
      </c>
      <c r="C9" s="5" t="inlineStr">
        <is>
          <t>InpMaxSpreadPoints</t>
        </is>
      </c>
      <c r="D9" s="5" t="inlineStr">
        <is>
          <t>int</t>
        </is>
      </c>
      <c r="E9" s="5" t="inlineStr">
        <is>
          <t>0</t>
        </is>
      </c>
      <c r="F9" s="5" t="inlineStr">
        <is>
          <t>Max spread (points, 0=auto ATR mode)</t>
        </is>
      </c>
      <c r="G9" s="5" t="inlineStr"/>
    </row>
    <row r="10">
      <c r="A10" s="4" t="n">
        <v>9</v>
      </c>
      <c r="B10" s="4">
        <f>==== 01 | GENERAL =====</f>
        <v/>
      </c>
      <c r="C10" s="5" t="inlineStr">
        <is>
          <t>InpMaxSpreadATRFactor</t>
        </is>
      </c>
      <c r="D10" s="5" t="inlineStr">
        <is>
          <t>double</t>
        </is>
      </c>
      <c r="E10" s="5" t="inlineStr">
        <is>
          <t>0.2</t>
        </is>
      </c>
      <c r="F10" s="5" t="inlineStr">
        <is>
          <t>Max spread as fraction of ATR</t>
        </is>
      </c>
      <c r="G10" s="5" t="inlineStr"/>
    </row>
    <row r="11">
      <c r="A11" s="4" t="n">
        <v>10</v>
      </c>
      <c r="B11" s="4">
        <f>==== 01 | GENERAL =====</f>
        <v/>
      </c>
      <c r="C11" s="5" t="inlineStr">
        <is>
          <t>InpDeviationPoints</t>
        </is>
      </c>
      <c r="D11" s="5" t="inlineStr">
        <is>
          <t>int</t>
        </is>
      </c>
      <c r="E11" s="5" t="inlineStr">
        <is>
          <t>20</t>
        </is>
      </c>
      <c r="F11" s="5" t="inlineStr">
        <is>
          <t>Max slippage deviation (points)</t>
        </is>
      </c>
      <c r="G11" s="5" t="inlineStr"/>
    </row>
    <row r="12">
      <c r="A12" s="4" t="n">
        <v>11</v>
      </c>
      <c r="B12" s="4">
        <f>==== 01 | GENERAL =====</f>
        <v/>
      </c>
      <c r="C12" s="5" t="inlineStr">
        <is>
          <t>InpShowPanel</t>
        </is>
      </c>
      <c r="D12" s="5" t="inlineStr">
        <is>
          <t>bool</t>
        </is>
      </c>
      <c r="E12" s="5" t="inlineStr">
        <is>
          <t>true</t>
        </is>
      </c>
      <c r="F12" s="5" t="inlineStr">
        <is>
          <t>Show on-chart status panel</t>
        </is>
      </c>
      <c r="G12" s="5" t="inlineStr"/>
    </row>
    <row r="13">
      <c r="A13" s="4" t="n">
        <v>12</v>
      </c>
      <c r="B13" s="4">
        <f>==== 02 | RISK MANAGEMENT =====</f>
        <v/>
      </c>
      <c r="C13" s="5" t="inlineStr">
        <is>
          <t>InpRiskMode</t>
        </is>
      </c>
      <c r="D13" s="5" t="inlineStr">
        <is>
          <t>ENUM_NG_RISK_MODE</t>
        </is>
      </c>
      <c r="E13" s="5" t="inlineStr">
        <is>
          <t>NG_RISK_PERCENT</t>
        </is>
      </c>
      <c r="F13" s="5" t="inlineStr">
        <is>
          <t>Sizing mode</t>
        </is>
      </c>
      <c r="G13" s="5" t="inlineStr"/>
    </row>
    <row r="14">
      <c r="A14" s="4" t="n">
        <v>13</v>
      </c>
      <c r="B14" s="4">
        <f>==== 02 | RISK MANAGEMENT =====</f>
        <v/>
      </c>
      <c r="C14" s="5" t="inlineStr">
        <is>
          <t>InpFixedLots</t>
        </is>
      </c>
      <c r="D14" s="5" t="inlineStr">
        <is>
          <t>double</t>
        </is>
      </c>
      <c r="E14" s="5" t="inlineStr">
        <is>
          <t>0.01</t>
        </is>
      </c>
      <c r="F14" s="5" t="inlineStr">
        <is>
          <t>Fixed lots (fixed mode)</t>
        </is>
      </c>
      <c r="G14" s="5" t="inlineStr"/>
    </row>
    <row r="15">
      <c r="A15" s="4" t="n">
        <v>14</v>
      </c>
      <c r="B15" s="4">
        <f>==== 02 | RISK MANAGEMENT =====</f>
        <v/>
      </c>
      <c r="C15" s="5" t="inlineStr">
        <is>
          <t>InpRiskPercent</t>
        </is>
      </c>
      <c r="D15" s="5" t="inlineStr">
        <is>
          <t>double</t>
        </is>
      </c>
      <c r="E15" s="5" t="inlineStr">
        <is>
          <t>1.0</t>
        </is>
      </c>
      <c r="F15" s="5" t="inlineStr">
        <is>
          <t>Risk % of balance per trade</t>
        </is>
      </c>
      <c r="G15" s="5" t="inlineStr"/>
    </row>
    <row r="16">
      <c r="A16" s="4" t="n">
        <v>15</v>
      </c>
      <c r="B16" s="4">
        <f>==== 02 | RISK MANAGEMENT =====</f>
        <v/>
      </c>
      <c r="C16" s="5" t="inlineStr">
        <is>
          <t>InpMarginRiskPercent</t>
        </is>
      </c>
      <c r="D16" s="5" t="inlineStr">
        <is>
          <t>double</t>
        </is>
      </c>
      <c r="E16" s="5" t="inlineStr">
        <is>
          <t>10.0</t>
        </is>
      </c>
      <c r="F16" s="5" t="inlineStr">
        <is>
          <t>Risk % of free margin per trade</t>
        </is>
      </c>
      <c r="G16" s="5" t="inlineStr"/>
    </row>
    <row r="17">
      <c r="A17" s="4" t="n">
        <v>16</v>
      </c>
      <c r="B17" s="4">
        <f>==== 02 | RISK MANAGEMENT =====</f>
        <v/>
      </c>
      <c r="C17" s="5" t="inlineStr">
        <is>
          <t>InpMaxLots</t>
        </is>
      </c>
      <c r="D17" s="5" t="inlineStr">
        <is>
          <t>double</t>
        </is>
      </c>
      <c r="E17" s="5" t="inlineStr">
        <is>
          <t>10.0</t>
        </is>
      </c>
      <c r="F17" s="5" t="inlineStr">
        <is>
          <t>Hard cap on lots</t>
        </is>
      </c>
      <c r="G17" s="5" t="inlineStr"/>
    </row>
    <row r="18">
      <c r="A18" s="4" t="n">
        <v>17</v>
      </c>
      <c r="B18" s="4">
        <f>==== 02 | RISK MANAGEMENT =====</f>
        <v/>
      </c>
      <c r="C18" s="5" t="inlineStr">
        <is>
          <t>InpMaxOpenPositions</t>
        </is>
      </c>
      <c r="D18" s="5" t="inlineStr">
        <is>
          <t>int</t>
        </is>
      </c>
      <c r="E18" s="5" t="inlineStr">
        <is>
          <t>1</t>
        </is>
      </c>
      <c r="F18" s="5" t="inlineStr">
        <is>
          <t>Max open positions per symbol</t>
        </is>
      </c>
      <c r="G18" s="5" t="inlineStr"/>
    </row>
    <row r="19">
      <c r="A19" s="4" t="n">
        <v>18</v>
      </c>
      <c r="B19" s="4">
        <f>==== 02 | RISK MANAGEMENT =====</f>
        <v/>
      </c>
      <c r="C19" s="5" t="inlineStr">
        <is>
          <t>InpDailyLossLimitPercent</t>
        </is>
      </c>
      <c r="D19" s="5" t="inlineStr">
        <is>
          <t>double</t>
        </is>
      </c>
      <c r="E19" s="5" t="inlineStr">
        <is>
          <t>3.0</t>
        </is>
      </c>
      <c r="F19" s="5" t="inlineStr">
        <is>
          <t>Daily loss limit % (0=off)</t>
        </is>
      </c>
      <c r="G19" s="5" t="inlineStr"/>
    </row>
    <row r="20">
      <c r="A20" s="4" t="n">
        <v>19</v>
      </c>
      <c r="B20" s="4">
        <f>==== 02 | RISK MANAGEMENT =====</f>
        <v/>
      </c>
      <c r="C20" s="5" t="inlineStr">
        <is>
          <t>InpMaxDailyTrades</t>
        </is>
      </c>
      <c r="D20" s="5" t="inlineStr">
        <is>
          <t>int</t>
        </is>
      </c>
      <c r="E20" s="5" t="inlineStr">
        <is>
          <t>8</t>
        </is>
      </c>
      <c r="F20" s="5" t="inlineStr">
        <is>
          <t>Max new trades per day (0=off)</t>
        </is>
      </c>
      <c r="G20" s="5" t="inlineStr"/>
    </row>
    <row r="21">
      <c r="A21" s="4" t="n">
        <v>20</v>
      </c>
      <c r="B21" s="4">
        <f>==== 02 | RISK MANAGEMENT =====</f>
        <v/>
      </c>
      <c r="C21" s="5" t="inlineStr">
        <is>
          <t>InpGlobalDrawdownStopPercent</t>
        </is>
      </c>
      <c r="D21" s="5" t="inlineStr">
        <is>
          <t>double</t>
        </is>
      </c>
      <c r="E21" s="5" t="inlineStr">
        <is>
          <t>0.0</t>
        </is>
      </c>
      <c r="F21" s="5" t="inlineStr">
        <is>
          <t>Global DD stop from peak equity % (0=off)</t>
        </is>
      </c>
      <c r="G21" s="5" t="inlineStr"/>
    </row>
    <row r="22">
      <c r="A22" s="4" t="n">
        <v>21</v>
      </c>
      <c r="B22" s="4">
        <f>==== 03 | ENTRY SIGNAL =====</f>
        <v/>
      </c>
      <c r="C22" s="5" t="inlineStr">
        <is>
          <t>InpEntryMode</t>
        </is>
      </c>
      <c r="D22" s="5" t="inlineStr">
        <is>
          <t>ENUM_NG_ENTRY_MODE</t>
        </is>
      </c>
      <c r="E22" s="5" t="inlineStr">
        <is>
          <t>NG_ENTRY_PULLBACK</t>
        </is>
      </c>
      <c r="F22" s="5" t="inlineStr">
        <is>
          <t>Entry mode</t>
        </is>
      </c>
      <c r="G22" s="5" t="inlineStr"/>
    </row>
    <row r="23">
      <c r="A23" s="4" t="n">
        <v>22</v>
      </c>
      <c r="B23" s="4">
        <f>==== 03 | ENTRY SIGNAL =====</f>
        <v/>
      </c>
      <c r="C23" s="5" t="inlineStr">
        <is>
          <t>InpFastEMA</t>
        </is>
      </c>
      <c r="D23" s="5" t="inlineStr">
        <is>
          <t>int</t>
        </is>
      </c>
      <c r="E23" s="5" t="inlineStr">
        <is>
          <t>21</t>
        </is>
      </c>
      <c r="F23" s="5" t="inlineStr">
        <is>
          <t>Fast EMA</t>
        </is>
      </c>
      <c r="G23" s="5" t="inlineStr"/>
    </row>
    <row r="24">
      <c r="A24" s="4" t="n">
        <v>23</v>
      </c>
      <c r="B24" s="4">
        <f>==== 03 | ENTRY SIGNAL =====</f>
        <v/>
      </c>
      <c r="C24" s="5" t="inlineStr">
        <is>
          <t>InpSlowEMA</t>
        </is>
      </c>
      <c r="D24" s="5" t="inlineStr">
        <is>
          <t>int</t>
        </is>
      </c>
      <c r="E24" s="5" t="inlineStr">
        <is>
          <t>55</t>
        </is>
      </c>
      <c r="F24" s="5" t="inlineStr">
        <is>
          <t>Slow EMA (trend filter)</t>
        </is>
      </c>
      <c r="G24" s="5" t="inlineStr"/>
    </row>
    <row r="25">
      <c r="A25" s="4" t="n">
        <v>24</v>
      </c>
      <c r="B25" s="4">
        <f>==== 03 | ENTRY SIGNAL =====</f>
        <v/>
      </c>
      <c r="C25" s="5" t="inlineStr">
        <is>
          <t>InpRSIPeriod</t>
        </is>
      </c>
      <c r="D25" s="5" t="inlineStr">
        <is>
          <t>int</t>
        </is>
      </c>
      <c r="E25" s="5" t="inlineStr">
        <is>
          <t>14</t>
        </is>
      </c>
      <c r="F25" s="5" t="inlineStr">
        <is>
          <t>RSI period</t>
        </is>
      </c>
      <c r="G25" s="5" t="inlineStr"/>
    </row>
    <row r="26">
      <c r="A26" s="4" t="n">
        <v>25</v>
      </c>
      <c r="B26" s="4">
        <f>==== 03 | ENTRY SIGNAL =====</f>
        <v/>
      </c>
      <c r="C26" s="5" t="inlineStr">
        <is>
          <t>InpRSIMomentumLevel</t>
        </is>
      </c>
      <c r="D26" s="5" t="inlineStr">
        <is>
          <t>double</t>
        </is>
      </c>
      <c r="E26" s="5" t="inlineStr">
        <is>
          <t>50.0</t>
        </is>
      </c>
      <c r="F26" s="5" t="inlineStr">
        <is>
          <t>RSI momentum level</t>
        </is>
      </c>
      <c r="G26" s="5" t="inlineStr"/>
    </row>
    <row r="27">
      <c r="A27" s="4" t="n">
        <v>26</v>
      </c>
      <c r="B27" s="4">
        <f>==== 03 | ENTRY SIGNAL =====</f>
        <v/>
      </c>
      <c r="C27" s="5" t="inlineStr">
        <is>
          <t>InpRSIFadeBuy</t>
        </is>
      </c>
      <c r="D27" s="5" t="inlineStr">
        <is>
          <t>double</t>
        </is>
      </c>
      <c r="E27" s="5" t="inlineStr">
        <is>
          <t>35.0</t>
        </is>
      </c>
      <c r="F27" s="5" t="inlineStr">
        <is>
          <t>RSI fade level (volatile range BUY)</t>
        </is>
      </c>
      <c r="G27" s="5" t="inlineStr"/>
    </row>
    <row r="28">
      <c r="A28" s="4" t="n">
        <v>27</v>
      </c>
      <c r="B28" s="4">
        <f>==== 03 | ENTRY SIGNAL =====</f>
        <v/>
      </c>
      <c r="C28" s="5" t="inlineStr">
        <is>
          <t>InpRSIFadeSell</t>
        </is>
      </c>
      <c r="D28" s="5" t="inlineStr">
        <is>
          <t>double</t>
        </is>
      </c>
      <c r="E28" s="5" t="inlineStr">
        <is>
          <t>65.0</t>
        </is>
      </c>
      <c r="F28" s="5" t="inlineStr">
        <is>
          <t>RSI fade level (volatile range SELL)</t>
        </is>
      </c>
      <c r="G28" s="5" t="inlineStr"/>
    </row>
    <row r="29">
      <c r="A29" s="4" t="n">
        <v>28</v>
      </c>
      <c r="B29" s="4">
        <f>==== 03 | ENTRY SIGNAL =====</f>
        <v/>
      </c>
      <c r="C29" s="5" t="inlineStr">
        <is>
          <t>InpMACDFast</t>
        </is>
      </c>
      <c r="D29" s="5" t="inlineStr">
        <is>
          <t>int</t>
        </is>
      </c>
      <c r="E29" s="5" t="inlineStr">
        <is>
          <t>12</t>
        </is>
      </c>
      <c r="F29" s="5" t="inlineStr">
        <is>
          <t>MACD fast</t>
        </is>
      </c>
      <c r="G29" s="5" t="inlineStr"/>
    </row>
    <row r="30">
      <c r="A30" s="4" t="n">
        <v>29</v>
      </c>
      <c r="B30" s="4">
        <f>==== 03 | ENTRY SIGNAL =====</f>
        <v/>
      </c>
      <c r="C30" s="5" t="inlineStr">
        <is>
          <t>InpMACDSlow</t>
        </is>
      </c>
      <c r="D30" s="5" t="inlineStr">
        <is>
          <t>int</t>
        </is>
      </c>
      <c r="E30" s="5" t="inlineStr">
        <is>
          <t>26</t>
        </is>
      </c>
      <c r="F30" s="5" t="inlineStr">
        <is>
          <t>MACD slow</t>
        </is>
      </c>
      <c r="G30" s="5" t="inlineStr"/>
    </row>
    <row r="31">
      <c r="A31" s="4" t="n">
        <v>30</v>
      </c>
      <c r="B31" s="4">
        <f>==== 03 | ENTRY SIGNAL =====</f>
        <v/>
      </c>
      <c r="C31" s="5" t="inlineStr">
        <is>
          <t>InpMACDSignal</t>
        </is>
      </c>
      <c r="D31" s="5" t="inlineStr">
        <is>
          <t>int</t>
        </is>
      </c>
      <c r="E31" s="5" t="inlineStr">
        <is>
          <t>9</t>
        </is>
      </c>
      <c r="F31" s="5" t="inlineStr">
        <is>
          <t>MACD signal</t>
        </is>
      </c>
      <c r="G31" s="5" t="inlineStr"/>
    </row>
    <row r="32">
      <c r="A32" s="4" t="n">
        <v>31</v>
      </c>
      <c r="B32" s="4">
        <f>==== 03 | ENTRY SIGNAL =====</f>
        <v/>
      </c>
      <c r="C32" s="5" t="inlineStr">
        <is>
          <t>InpADXPeriod</t>
        </is>
      </c>
      <c r="D32" s="5" t="inlineStr">
        <is>
          <t>int</t>
        </is>
      </c>
      <c r="E32" s="5" t="inlineStr">
        <is>
          <t>14</t>
        </is>
      </c>
      <c r="F32" s="5" t="inlineStr">
        <is>
          <t>ADX period</t>
        </is>
      </c>
      <c r="G32" s="5" t="inlineStr"/>
    </row>
    <row r="33">
      <c r="A33" s="4" t="n">
        <v>32</v>
      </c>
      <c r="B33" s="4">
        <f>==== 03 | ENTRY SIGNAL =====</f>
        <v/>
      </c>
      <c r="C33" s="5" t="inlineStr">
        <is>
          <t>InpADXThreshold</t>
        </is>
      </c>
      <c r="D33" s="5" t="inlineStr">
        <is>
          <t>double</t>
        </is>
      </c>
      <c r="E33" s="5" t="inlineStr">
        <is>
          <t>22.0</t>
        </is>
      </c>
      <c r="F33" s="5" t="inlineStr">
        <is>
          <t>ADX threshold (trend strength)</t>
        </is>
      </c>
      <c r="G33" s="5" t="inlineStr"/>
    </row>
    <row r="34">
      <c r="A34" s="4" t="n">
        <v>33</v>
      </c>
      <c r="B34" s="4">
        <f>==== 03 | ENTRY SIGNAL =====</f>
        <v/>
      </c>
      <c r="C34" s="5" t="inlineStr">
        <is>
          <t>InpUseHTFAlignment</t>
        </is>
      </c>
      <c r="D34" s="5" t="inlineStr">
        <is>
          <t>bool</t>
        </is>
      </c>
      <c r="E34" s="5" t="inlineStr">
        <is>
          <t>true</t>
        </is>
      </c>
      <c r="F34" s="5" t="inlineStr">
        <is>
          <t>Higher-TF trend alignment</t>
        </is>
      </c>
      <c r="G34" s="5" t="inlineStr"/>
    </row>
    <row r="35">
      <c r="A35" s="4" t="n">
        <v>34</v>
      </c>
      <c r="B35" s="4">
        <f>==== 03 | ENTRY SIGNAL =====</f>
        <v/>
      </c>
      <c r="C35" s="5" t="inlineStr">
        <is>
          <t>InpHTFMultiplier</t>
        </is>
      </c>
      <c r="D35" s="5" t="inlineStr">
        <is>
          <t>int</t>
        </is>
      </c>
      <c r="E35" s="5" t="inlineStr">
        <is>
          <t>4</t>
        </is>
      </c>
      <c r="F35" s="5" t="inlineStr">
        <is>
          <t>Higher-TF multiplier (x4 of chart TF)</t>
        </is>
      </c>
      <c r="G35" s="5" t="inlineStr"/>
    </row>
    <row r="36">
      <c r="A36" s="4" t="n">
        <v>35</v>
      </c>
      <c r="B36" s="4">
        <f>==== 03 | ENTRY SIGNAL =====</f>
        <v/>
      </c>
      <c r="C36" s="5" t="inlineStr">
        <is>
          <t>InpBBPeriod</t>
        </is>
      </c>
      <c r="D36" s="5" t="inlineStr">
        <is>
          <t>int</t>
        </is>
      </c>
      <c r="E36" s="5" t="inlineStr">
        <is>
          <t>20</t>
        </is>
      </c>
      <c r="F36" s="5" t="inlineStr">
        <is>
          <t>Bollinger period</t>
        </is>
      </c>
      <c r="G36" s="5" t="inlineStr"/>
    </row>
    <row r="37">
      <c r="A37" s="4" t="n">
        <v>36</v>
      </c>
      <c r="B37" s="4">
        <f>==== 03 | ENTRY SIGNAL =====</f>
        <v/>
      </c>
      <c r="C37" s="5" t="inlineStr">
        <is>
          <t>InpBBDev</t>
        </is>
      </c>
      <c r="D37" s="5" t="inlineStr">
        <is>
          <t>double</t>
        </is>
      </c>
      <c r="E37" s="5" t="inlineStr">
        <is>
          <t>2.0</t>
        </is>
      </c>
      <c r="F37" s="5" t="inlineStr">
        <is>
          <t>Bollinger deviation</t>
        </is>
      </c>
      <c r="G37" s="5" t="inlineStr"/>
    </row>
    <row r="38">
      <c r="A38" s="4" t="n">
        <v>37</v>
      </c>
      <c r="B38" s="4">
        <f>==== 03 | ENTRY SIGNAL =====</f>
        <v/>
      </c>
      <c r="C38" s="5" t="inlineStr">
        <is>
          <t>InpPullbackLookback</t>
        </is>
      </c>
      <c r="D38" s="5" t="inlineStr">
        <is>
          <t>int</t>
        </is>
      </c>
      <c r="E38" s="5" t="inlineStr">
        <is>
          <t>5</t>
        </is>
      </c>
      <c r="F38" s="5" t="inlineStr">
        <is>
          <t>Bars window for a touch</t>
        </is>
      </c>
      <c r="G38" s="5" t="inlineStr"/>
    </row>
    <row r="39">
      <c r="A39" s="4" t="n">
        <v>38</v>
      </c>
      <c r="B39" s="4">
        <f>==== 03 | ENTRY SIGNAL =====</f>
        <v/>
      </c>
      <c r="C39" s="5" t="inlineStr">
        <is>
          <t>InpTouchToleranceATR</t>
        </is>
      </c>
      <c r="D39" s="5" t="inlineStr">
        <is>
          <t>double</t>
        </is>
      </c>
      <c r="E39" s="5" t="inlineStr">
        <is>
          <t>0.1</t>
        </is>
      </c>
      <c r="F39" s="5" t="inlineStr">
        <is>
          <t>Touch tolerance (x ATR)</t>
        </is>
      </c>
      <c r="G39" s="5" t="inlineStr"/>
    </row>
    <row r="40">
      <c r="A40" s="4" t="n">
        <v>39</v>
      </c>
      <c r="B40" s="4">
        <f>==== 03 | ENTRY SIGNAL =====</f>
        <v/>
      </c>
      <c r="C40" s="5" t="inlineStr">
        <is>
          <t>InpMaxEntryDistanceATR</t>
        </is>
      </c>
      <c r="D40" s="5" t="inlineStr">
        <is>
          <t>double</t>
        </is>
      </c>
      <c r="E40" s="5" t="inlineStr">
        <is>
          <t>1.5</t>
        </is>
      </c>
      <c r="F40" s="5" t="inlineStr">
        <is>
          <t>Anti-chase: max distance from EMA21 (x ATR)</t>
        </is>
      </c>
      <c r="G40" s="5" t="inlineStr"/>
    </row>
    <row r="41">
      <c r="A41" s="4" t="n">
        <v>40</v>
      </c>
      <c r="B41" s="4">
        <f>==== 04 | MARKET REGIME (QUIET / TREND / VOLATILE) =====</f>
        <v/>
      </c>
      <c r="C41" s="5" t="inlineStr">
        <is>
          <t>InpRegimeMode</t>
        </is>
      </c>
      <c r="D41" s="5" t="inlineStr">
        <is>
          <t>ENUM_NG_REGIME_MODE</t>
        </is>
      </c>
      <c r="E41" s="5" t="inlineStr">
        <is>
          <t>NG_REGIME_AUTO</t>
        </is>
      </c>
      <c r="F41" s="5" t="inlineStr">
        <is>
          <t>AUTO=adaptive, ALWAYS=ignore regime</t>
        </is>
      </c>
      <c r="G41" s="5" t="inlineStr"/>
    </row>
    <row r="42">
      <c r="A42" s="4" t="n">
        <v>41</v>
      </c>
      <c r="B42" s="4">
        <f>==== 04 | MARKET REGIME (QUIET / TREND / VOLATILE) =====</f>
        <v/>
      </c>
      <c r="C42" s="5" t="inlineStr">
        <is>
          <t>InpATRPeriod</t>
        </is>
      </c>
      <c r="D42" s="5" t="inlineStr">
        <is>
          <t>int</t>
        </is>
      </c>
      <c r="E42" s="5" t="inlineStr">
        <is>
          <t>14</t>
        </is>
      </c>
      <c r="F42" s="5" t="inlineStr">
        <is>
          <t>ATR period</t>
        </is>
      </c>
      <c r="G42" s="5" t="inlineStr"/>
    </row>
    <row r="43">
      <c r="A43" s="4" t="n">
        <v>42</v>
      </c>
      <c r="B43" s="4">
        <f>==== 04 | MARKET REGIME (QUIET / TREND / VOLATILE) =====</f>
        <v/>
      </c>
      <c r="C43" s="5" t="inlineStr">
        <is>
          <t>InpRegimeLookback</t>
        </is>
      </c>
      <c r="D43" s="5" t="inlineStr">
        <is>
          <t>int</t>
        </is>
      </c>
      <c r="E43" s="5" t="inlineStr">
        <is>
          <t>120</t>
        </is>
      </c>
      <c r="F43" s="5" t="inlineStr">
        <is>
          <t>Bars used to build normal ATR (median)</t>
        </is>
      </c>
      <c r="G43" s="5" t="inlineStr"/>
    </row>
    <row r="44">
      <c r="A44" s="4" t="n">
        <v>43</v>
      </c>
      <c r="B44" s="4">
        <f>==== 04 | MARKET REGIME (QUIET / TREND / VOLATILE) =====</f>
        <v/>
      </c>
      <c r="C44" s="5" t="inlineStr">
        <is>
          <t>InpQuietATRFactor</t>
        </is>
      </c>
      <c r="D44" s="5" t="inlineStr">
        <is>
          <t>double</t>
        </is>
      </c>
      <c r="E44" s="5" t="inlineStr">
        <is>
          <t>0.75</t>
        </is>
      </c>
      <c r="F44" s="5" t="inlineStr">
        <is>
          <t>ATR &lt; factor*median  -&gt; QUIET (wait)</t>
        </is>
      </c>
      <c r="G44" s="5" t="inlineStr"/>
    </row>
    <row r="45">
      <c r="A45" s="4" t="n">
        <v>44</v>
      </c>
      <c r="B45" s="4">
        <f>==== 04 | MARKET REGIME (QUIET / TREND / VOLATILE) =====</f>
        <v/>
      </c>
      <c r="C45" s="5" t="inlineStr">
        <is>
          <t>InpVolatileATRFactor</t>
        </is>
      </c>
      <c r="D45" s="5" t="inlineStr">
        <is>
          <t>double</t>
        </is>
      </c>
      <c r="E45" s="5" t="inlineStr">
        <is>
          <t>2.0</t>
        </is>
      </c>
      <c r="F45" s="5" t="inlineStr">
        <is>
          <t>ATR &gt; factor*median  -&gt; VOLATILE</t>
        </is>
      </c>
      <c r="G45" s="5" t="inlineStr"/>
    </row>
    <row r="46">
      <c r="A46" s="4" t="n">
        <v>45</v>
      </c>
      <c r="B46" s="4">
        <f>==== 04 | MARKET REGIME (QUIET / TREND / VOLATILE) =====</f>
        <v/>
      </c>
      <c r="C46" s="5" t="inlineStr">
        <is>
          <t>InpTradeVolatileRange</t>
        </is>
      </c>
      <c r="D46" s="5" t="inlineStr">
        <is>
          <t>bool</t>
        </is>
      </c>
      <c r="E46" s="5" t="inlineStr">
        <is>
          <t>false</t>
        </is>
      </c>
      <c r="F46" s="5" t="inlineStr">
        <is>
          <t>VOLATILE: allow range fade only (no breakout)</t>
        </is>
      </c>
      <c r="G46" s="5" t="inlineStr"/>
    </row>
    <row r="47">
      <c r="A47" s="4" t="n">
        <v>46</v>
      </c>
      <c r="B47" s="4">
        <f>==== 05 | TIME &amp; NEWS FILTERS =====</f>
        <v/>
      </c>
      <c r="C47" s="5" t="inlineStr">
        <is>
          <t>InpServerGmtOffset</t>
        </is>
      </c>
      <c r="D47" s="5" t="inlineStr">
        <is>
          <t>int</t>
        </is>
      </c>
      <c r="E47" s="5" t="inlineStr">
        <is>
          <t>999</t>
        </is>
      </c>
      <c r="F47" s="5" t="inlineStr">
        <is>
          <t>Server GMT offset (999=auto-detect)</t>
        </is>
      </c>
      <c r="G47" s="5" t="inlineStr"/>
    </row>
    <row r="48">
      <c r="A48" s="4" t="n">
        <v>47</v>
      </c>
      <c r="B48" s="4">
        <f>==== 05 | TIME &amp; NEWS FILTERS =====</f>
        <v/>
      </c>
      <c r="C48" s="5" t="inlineStr">
        <is>
          <t>InpSessionFilter</t>
        </is>
      </c>
      <c r="D48" s="5" t="inlineStr">
        <is>
          <t>bool</t>
        </is>
      </c>
      <c r="E48" s="5" t="inlineStr">
        <is>
          <t>false</t>
        </is>
      </c>
      <c r="F48" s="5" t="inlineStr">
        <is>
          <t>Trade only London+New York</t>
        </is>
      </c>
      <c r="G48" s="5" t="inlineStr"/>
    </row>
    <row r="49">
      <c r="A49" s="4" t="n">
        <v>48</v>
      </c>
      <c r="B49" s="4">
        <f>==== 05 | TIME &amp; NEWS FILTERS =====</f>
        <v/>
      </c>
      <c r="C49" s="5" t="inlineStr">
        <is>
          <t>InpLondonStart</t>
        </is>
      </c>
      <c r="D49" s="5" t="inlineStr">
        <is>
          <t>int</t>
        </is>
      </c>
      <c r="E49" s="5" t="inlineStr">
        <is>
          <t>8</t>
        </is>
      </c>
      <c r="F49" s="5" t="inlineStr">
        <is>
          <t>London open (GMT hour)</t>
        </is>
      </c>
      <c r="G49" s="5" t="inlineStr"/>
    </row>
    <row r="50">
      <c r="A50" s="4" t="n">
        <v>49</v>
      </c>
      <c r="B50" s="4">
        <f>==== 05 | TIME &amp; NEWS FILTERS =====</f>
        <v/>
      </c>
      <c r="C50" s="5" t="inlineStr">
        <is>
          <t>InpLondonEnd</t>
        </is>
      </c>
      <c r="D50" s="5" t="inlineStr">
        <is>
          <t>int</t>
        </is>
      </c>
      <c r="E50" s="5" t="inlineStr">
        <is>
          <t>17</t>
        </is>
      </c>
      <c r="F50" s="5" t="inlineStr">
        <is>
          <t>London close (GMT hour)</t>
        </is>
      </c>
      <c r="G50" s="5" t="inlineStr"/>
    </row>
    <row r="51">
      <c r="A51" s="4" t="n">
        <v>50</v>
      </c>
      <c r="B51" s="4">
        <f>==== 05 | TIME &amp; NEWS FILTERS =====</f>
        <v/>
      </c>
      <c r="C51" s="5" t="inlineStr">
        <is>
          <t>InpNewYorkStart</t>
        </is>
      </c>
      <c r="D51" s="5" t="inlineStr">
        <is>
          <t>int</t>
        </is>
      </c>
      <c r="E51" s="5" t="inlineStr">
        <is>
          <t>13</t>
        </is>
      </c>
      <c r="F51" s="5" t="inlineStr">
        <is>
          <t>New York open (GMT hour)</t>
        </is>
      </c>
      <c r="G51" s="5" t="inlineStr"/>
    </row>
    <row r="52">
      <c r="A52" s="4" t="n">
        <v>51</v>
      </c>
      <c r="B52" s="4">
        <f>==== 05 | TIME &amp; NEWS FILTERS =====</f>
        <v/>
      </c>
      <c r="C52" s="5" t="inlineStr">
        <is>
          <t>InpNewYorkEnd</t>
        </is>
      </c>
      <c r="D52" s="5" t="inlineStr">
        <is>
          <t>int</t>
        </is>
      </c>
      <c r="E52" s="5" t="inlineStr">
        <is>
          <t>22</t>
        </is>
      </c>
      <c r="F52" s="5" t="inlineStr">
        <is>
          <t>New York close (GMT hour)</t>
        </is>
      </c>
      <c r="G52" s="5" t="inlineStr"/>
    </row>
    <row r="53">
      <c r="A53" s="4" t="n">
        <v>52</v>
      </c>
      <c r="B53" s="4">
        <f>==== 05 | TIME &amp; NEWS FILTERS =====</f>
        <v/>
      </c>
      <c r="C53" s="5" t="inlineStr">
        <is>
          <t>InpNewsFilter</t>
        </is>
      </c>
      <c r="D53" s="5" t="inlineStr">
        <is>
          <t>bool</t>
        </is>
      </c>
      <c r="E53" s="5" t="inlineStr">
        <is>
          <t>true</t>
        </is>
      </c>
      <c r="F53" s="5" t="inlineStr">
        <is>
          <t>US-data blackout (server hours)</t>
        </is>
      </c>
      <c r="G53" s="5" t="inlineStr"/>
    </row>
    <row r="54">
      <c r="A54" s="4" t="n">
        <v>53</v>
      </c>
      <c r="B54" s="4">
        <f>==== 05 | TIME &amp; NEWS FILTERS =====</f>
        <v/>
      </c>
      <c r="C54" s="5" t="inlineStr">
        <is>
          <t>InpNewsBlockStart</t>
        </is>
      </c>
      <c r="D54" s="5" t="inlineStr">
        <is>
          <t>int</t>
        </is>
      </c>
      <c r="E54" s="5" t="inlineStr">
        <is>
          <t>13</t>
        </is>
      </c>
      <c r="F54" s="5" t="inlineStr">
        <is>
          <t>Blackout start (server hour)</t>
        </is>
      </c>
      <c r="G54" s="5" t="inlineStr"/>
    </row>
    <row r="55">
      <c r="A55" s="4" t="n">
        <v>54</v>
      </c>
      <c r="B55" s="4">
        <f>==== 05 | TIME &amp; NEWS FILTERS =====</f>
        <v/>
      </c>
      <c r="C55" s="5" t="inlineStr">
        <is>
          <t>InpNewsBlockEnd</t>
        </is>
      </c>
      <c r="D55" s="5" t="inlineStr">
        <is>
          <t>int</t>
        </is>
      </c>
      <c r="E55" s="5" t="inlineStr">
        <is>
          <t>16</t>
        </is>
      </c>
      <c r="F55" s="5" t="inlineStr">
        <is>
          <t>Blackout end (server hour)</t>
        </is>
      </c>
      <c r="G55" s="5" t="inlineStr"/>
    </row>
    <row r="56">
      <c r="A56" s="4" t="n">
        <v>55</v>
      </c>
      <c r="B56" s="4">
        <f>==== 05 | TIME &amp; NEWS FILTERS =====</f>
        <v/>
      </c>
      <c r="C56" s="5" t="inlineStr">
        <is>
          <t>InpNewsBracketMinutes</t>
        </is>
      </c>
      <c r="D56" s="5" t="inlineStr">
        <is>
          <t>int</t>
        </is>
      </c>
      <c r="E56" s="5" t="inlineStr">
        <is>
          <t>15</t>
        </is>
      </c>
      <c r="F56" s="5" t="inlineStr">
        <is>
          <t>Extra minutes around blackout</t>
        </is>
      </c>
      <c r="G56" s="5" t="inlineStr"/>
    </row>
    <row r="57">
      <c r="A57" s="4" t="n">
        <v>56</v>
      </c>
      <c r="B57" s="4">
        <f>==== 05 | TIME &amp; NEWS FILTERS =====</f>
        <v/>
      </c>
      <c r="C57" s="5" t="inlineStr">
        <is>
          <t>InpNewsFridayExtendHours</t>
        </is>
      </c>
      <c r="D57" s="5" t="inlineStr">
        <is>
          <t>int</t>
        </is>
      </c>
      <c r="E57" s="5" t="inlineStr">
        <is>
          <t>1</t>
        </is>
      </c>
      <c r="F57" s="5" t="inlineStr">
        <is>
          <t>Extend blackout on Friday (hours)</t>
        </is>
      </c>
      <c r="G57" s="5" t="inlineStr"/>
    </row>
    <row r="58">
      <c r="A58" s="4" t="n">
        <v>57</v>
      </c>
      <c r="B58" s="4">
        <f>==== 05 | TIME &amp; NEWS FILTERS =====</f>
        <v/>
      </c>
      <c r="C58" s="5" t="inlineStr">
        <is>
          <t>InpAllowCryptoNews</t>
        </is>
      </c>
      <c r="D58" s="5" t="inlineStr">
        <is>
          <t>bool</t>
        </is>
      </c>
      <c r="E58" s="5" t="inlineStr">
        <is>
          <t>true</t>
        </is>
      </c>
      <c r="F58" s="5" t="inlineStr">
        <is>
          <t>Crypto/USDT ignore news blackout</t>
        </is>
      </c>
      <c r="G58" s="5" t="inlineStr"/>
    </row>
    <row r="59">
      <c r="A59" s="4" t="n">
        <v>58</v>
      </c>
      <c r="B59" s="4">
        <f>==== 06 | WEEKEND / FRIDAY GUARD (account survival) =====</f>
        <v/>
      </c>
      <c r="C59" s="5" t="inlineStr">
        <is>
          <t>InpFridayCutoffHour</t>
        </is>
      </c>
      <c r="D59" s="5" t="inlineStr">
        <is>
          <t>int</t>
        </is>
      </c>
      <c r="E59" s="5" t="inlineStr">
        <is>
          <t>20</t>
        </is>
      </c>
      <c r="F59" s="5" t="inlineStr">
        <is>
          <t>Friday cutoff (server hour): no new trades after</t>
        </is>
      </c>
      <c r="G59" s="5" t="inlineStr"/>
    </row>
    <row r="60">
      <c r="A60" s="4" t="n">
        <v>59</v>
      </c>
      <c r="B60" s="4">
        <f>==== 06 | WEEKEND / FRIDAY GUARD (account survival) =====</f>
        <v/>
      </c>
      <c r="C60" s="5" t="inlineStr">
        <is>
          <t>InpFridayLeadMinutes</t>
        </is>
      </c>
      <c r="D60" s="5" t="inlineStr">
        <is>
          <t>int</t>
        </is>
      </c>
      <c r="E60" s="5" t="inlineStr">
        <is>
          <t>60</t>
        </is>
      </c>
      <c r="F60" s="5" t="inlineStr">
        <is>
          <t>Minutes before cutoff: activate protection</t>
        </is>
      </c>
      <c r="G60" s="5" t="inlineStr"/>
    </row>
    <row r="61">
      <c r="A61" s="4" t="n">
        <v>60</v>
      </c>
      <c r="B61" s="4">
        <f>==== 06 | WEEKEND / FRIDAY GUARD (account survival) =====</f>
        <v/>
      </c>
      <c r="C61" s="5" t="inlineStr">
        <is>
          <t>InpFridayAction</t>
        </is>
      </c>
      <c r="D61" s="5" t="inlineStr">
        <is>
          <t>ENUM_NG_FRIDAY_ACTION</t>
        </is>
      </c>
      <c r="E61" s="5" t="inlineStr">
        <is>
          <t>NG_FRIDAY_CLOSE_ALL</t>
        </is>
      </c>
      <c r="F61" s="5" t="inlineStr">
        <is>
          <t>Action before weekend</t>
        </is>
      </c>
      <c r="G61" s="5" t="inlineStr"/>
    </row>
    <row r="62">
      <c r="A62" s="4" t="n">
        <v>61</v>
      </c>
      <c r="B62" s="4">
        <f>==== 06 | WEEKEND / FRIDAY GUARD (account survival) =====</f>
        <v/>
      </c>
      <c r="C62" s="5" t="inlineStr">
        <is>
          <t>InpSundayBlockMinutes</t>
        </is>
      </c>
      <c r="D62" s="5" t="inlineStr">
        <is>
          <t>int</t>
        </is>
      </c>
      <c r="E62" s="5" t="inlineStr">
        <is>
          <t>120</t>
        </is>
      </c>
      <c r="F62" s="5" t="inlineStr">
        <is>
          <t>No new trades first X min of Sunday reopen</t>
        </is>
      </c>
      <c r="G62" s="5" t="inlineStr"/>
    </row>
    <row r="63">
      <c r="A63" s="4" t="n">
        <v>62</v>
      </c>
      <c r="B63" s="4">
        <f>==== 06 | WEEKEND / FRIDAY GUARD (account survival) =====</f>
        <v/>
      </c>
      <c r="C63" s="5" t="inlineStr">
        <is>
          <t>InpApplyGuardCrypto</t>
        </is>
      </c>
      <c r="D63" s="5" t="inlineStr">
        <is>
          <t>bool</t>
        </is>
      </c>
      <c r="E63" s="5" t="inlineStr">
        <is>
          <t>false</t>
        </is>
      </c>
      <c r="F63" s="5" t="inlineStr">
        <is>
          <t>Apply weekend guard to crypto/USDT too</t>
        </is>
      </c>
      <c r="G63" s="5" t="inlineStr"/>
    </row>
    <row r="64">
      <c r="A64" s="4" t="n">
        <v>63</v>
      </c>
      <c r="B64" s="4">
        <f>==== 07 | EXIT &amp; PROTECTION =====</f>
        <v/>
      </c>
      <c r="C64" s="5" t="inlineStr">
        <is>
          <t>InpSL_ATR</t>
        </is>
      </c>
      <c r="D64" s="5" t="inlineStr">
        <is>
          <t>double</t>
        </is>
      </c>
      <c r="E64" s="5" t="inlineStr">
        <is>
          <t>2.0</t>
        </is>
      </c>
      <c r="F64" s="5" t="inlineStr">
        <is>
          <t>Initial stop-loss (x ATR)</t>
        </is>
      </c>
      <c r="G64" s="5" t="inlineStr"/>
    </row>
    <row r="65">
      <c r="A65" s="4" t="n">
        <v>64</v>
      </c>
      <c r="B65" s="4">
        <f>==== 07 | EXIT &amp; PROTECTION =====</f>
        <v/>
      </c>
      <c r="C65" s="5" t="inlineStr">
        <is>
          <t>InpTP_ATR</t>
        </is>
      </c>
      <c r="D65" s="5" t="inlineStr">
        <is>
          <t>double</t>
        </is>
      </c>
      <c r="E65" s="5" t="inlineStr">
        <is>
          <t>3.0</t>
        </is>
      </c>
      <c r="F65" s="5" t="inlineStr">
        <is>
          <t>Initial take-profit (x ATR, 0=auto RR)</t>
        </is>
      </c>
      <c r="G65" s="5" t="inlineStr"/>
    </row>
    <row r="66">
      <c r="A66" s="4" t="n">
        <v>65</v>
      </c>
      <c r="B66" s="4">
        <f>==== 07 | EXIT &amp; PROTECTION =====</f>
        <v/>
      </c>
      <c r="C66" s="5" t="inlineStr">
        <is>
          <t>InpMinRR</t>
        </is>
      </c>
      <c r="D66" s="5" t="inlineStr">
        <is>
          <t>double</t>
        </is>
      </c>
      <c r="E66" s="5" t="inlineStr">
        <is>
          <t>1.4</t>
        </is>
      </c>
      <c r="F66" s="5" t="inlineStr">
        <is>
          <t>Min reward:risk for a valid trade</t>
        </is>
      </c>
      <c r="G66" s="5" t="inlineStr"/>
    </row>
    <row r="67">
      <c r="A67" s="4" t="n">
        <v>66</v>
      </c>
      <c r="B67" s="4">
        <f>==== 07 | EXIT &amp; PROTECTION =====</f>
        <v/>
      </c>
      <c r="C67" s="5" t="inlineStr">
        <is>
          <t>InpPartialCloseEnabled</t>
        </is>
      </c>
      <c r="D67" s="5" t="inlineStr">
        <is>
          <t>bool</t>
        </is>
      </c>
      <c r="E67" s="5" t="inlineStr">
        <is>
          <t>true</t>
        </is>
      </c>
      <c r="F67" s="5" t="inlineStr">
        <is>
          <t>Partial profit-taking at 1R</t>
        </is>
      </c>
      <c r="G67" s="5" t="inlineStr"/>
    </row>
    <row r="68">
      <c r="A68" s="4" t="n">
        <v>67</v>
      </c>
      <c r="B68" s="4">
        <f>==== 07 | EXIT &amp; PROTECTION =====</f>
        <v/>
      </c>
      <c r="C68" s="5" t="inlineStr">
        <is>
          <t>InpPartialClosePercent</t>
        </is>
      </c>
      <c r="D68" s="5" t="inlineStr">
        <is>
          <t>double</t>
        </is>
      </c>
      <c r="E68" s="5" t="inlineStr">
        <is>
          <t>50.0</t>
        </is>
      </c>
      <c r="F68" s="5" t="inlineStr">
        <is>
          <t>Volume closed at partial (%)</t>
        </is>
      </c>
      <c r="G68" s="5" t="inlineStr"/>
    </row>
    <row r="69">
      <c r="A69" s="4" t="n">
        <v>68</v>
      </c>
      <c r="B69" s="4">
        <f>==== 07 | EXIT &amp; PROTECTION =====</f>
        <v/>
      </c>
      <c r="C69" s="5" t="inlineStr">
        <is>
          <t>InpPartialCloseAtRR</t>
        </is>
      </c>
      <c r="D69" s="5" t="inlineStr">
        <is>
          <t>double</t>
        </is>
      </c>
      <c r="E69" s="5" t="inlineStr">
        <is>
          <t>1.0</t>
        </is>
      </c>
      <c r="F69" s="5" t="inlineStr">
        <is>
          <t>Partial trigger (R multiple)</t>
        </is>
      </c>
      <c r="G69" s="5" t="inlineStr"/>
    </row>
    <row r="70">
      <c r="A70" s="4" t="n">
        <v>69</v>
      </c>
      <c r="B70" s="4">
        <f>==== 07 | EXIT &amp; PROTECTION =====</f>
        <v/>
      </c>
      <c r="C70" s="5" t="inlineStr">
        <is>
          <t>InpBreakEvenAfterPartial</t>
        </is>
      </c>
      <c r="D70" s="5" t="inlineStr">
        <is>
          <t>bool</t>
        </is>
      </c>
      <c r="E70" s="5" t="inlineStr">
        <is>
          <t>true</t>
        </is>
      </c>
      <c r="F70" s="5" t="inlineStr">
        <is>
          <t>SL -&gt; entry + lock right after partial</t>
        </is>
      </c>
      <c r="G70" s="5" t="inlineStr"/>
    </row>
    <row r="71">
      <c r="A71" s="4" t="n">
        <v>70</v>
      </c>
      <c r="B71" s="4">
        <f>==== 07 | EXIT &amp; PROTECTION =====</f>
        <v/>
      </c>
      <c r="C71" s="5" t="inlineStr">
        <is>
          <t>InpBreakEvenBufferATR</t>
        </is>
      </c>
      <c r="D71" s="5" t="inlineStr">
        <is>
          <t>double</t>
        </is>
      </c>
      <c r="E71" s="5" t="inlineStr">
        <is>
          <t>0.1</t>
        </is>
      </c>
      <c r="F71" s="5" t="inlineStr">
        <is>
          <t>Breakeven lock buffer (x ATR)</t>
        </is>
      </c>
      <c r="G71" s="5" t="inlineStr"/>
    </row>
    <row r="72">
      <c r="A72" s="4" t="n">
        <v>71</v>
      </c>
      <c r="B72" s="4">
        <f>==== 07 | EXIT &amp; PROTECTION =====</f>
        <v/>
      </c>
      <c r="C72" s="5" t="inlineStr">
        <is>
          <t>InpTrailingEnabled</t>
        </is>
      </c>
      <c r="D72" s="5" t="inlineStr">
        <is>
          <t>bool</t>
        </is>
      </c>
      <c r="E72" s="5" t="inlineStr">
        <is>
          <t>true</t>
        </is>
      </c>
      <c r="F72" s="5" t="inlineStr">
        <is>
          <t>Trailing stop</t>
        </is>
      </c>
      <c r="G72" s="5" t="inlineStr"/>
    </row>
    <row r="73">
      <c r="A73" s="4" t="n">
        <v>72</v>
      </c>
      <c r="B73" s="4">
        <f>==== 07 | EXIT &amp; PROTECTION =====</f>
        <v/>
      </c>
      <c r="C73" s="5" t="inlineStr">
        <is>
          <t>InpTrailingStartATR</t>
        </is>
      </c>
      <c r="D73" s="5" t="inlineStr">
        <is>
          <t>double</t>
        </is>
      </c>
      <c r="E73" s="5" t="inlineStr">
        <is>
          <t>1.5</t>
        </is>
      </c>
      <c r="F73" s="5" t="inlineStr">
        <is>
          <t>Trail activation (R from entry, x ATR)</t>
        </is>
      </c>
      <c r="G73" s="5" t="inlineStr"/>
    </row>
    <row r="74">
      <c r="A74" s="4" t="n">
        <v>73</v>
      </c>
      <c r="B74" s="4">
        <f>==== 07 | EXIT &amp; PROTECTION =====</f>
        <v/>
      </c>
      <c r="C74" s="5" t="inlineStr">
        <is>
          <t>InpTrailingStepATR</t>
        </is>
      </c>
      <c r="D74" s="5" t="inlineStr">
        <is>
          <t>double</t>
        </is>
      </c>
      <c r="E74" s="5" t="inlineStr">
        <is>
          <t>0.5</t>
        </is>
      </c>
      <c r="F74" s="5" t="inlineStr">
        <is>
          <t>Trail distance (x ATR)</t>
        </is>
      </c>
      <c r="G74" s="5" t="inlineStr"/>
    </row>
    <row r="75">
      <c r="A75" s="4" t="n">
        <v>74</v>
      </c>
      <c r="B75" s="4">
        <f>==== 07 | EXIT &amp; PROTECTION =====</f>
        <v/>
      </c>
      <c r="C75" s="5" t="inlineStr">
        <is>
          <t>InpTimeExitEnabled</t>
        </is>
      </c>
      <c r="D75" s="5" t="inlineStr">
        <is>
          <t>bool</t>
        </is>
      </c>
      <c r="E75" s="5" t="inlineStr">
        <is>
          <t>true</t>
        </is>
      </c>
      <c r="F75" s="5" t="inlineStr">
        <is>
          <t>Time-stop: max holding time</t>
        </is>
      </c>
      <c r="G75" s="5" t="inlineStr"/>
    </row>
    <row r="76">
      <c r="A76" s="4" t="n">
        <v>75</v>
      </c>
      <c r="B76" s="4">
        <f>==== 07 | EXIT &amp; PROTECTION =====</f>
        <v/>
      </c>
      <c r="C76" s="5" t="inlineStr">
        <is>
          <t>InpMaxHoldBars</t>
        </is>
      </c>
      <c r="D76" s="5" t="inlineStr">
        <is>
          <t>int</t>
        </is>
      </c>
      <c r="E76" s="5" t="inlineStr">
        <is>
          <t>0</t>
        </is>
      </c>
      <c r="F76" s="5" t="inlineStr">
        <is>
          <t>Max hold bars (0=auto per class)</t>
        </is>
      </c>
      <c r="G76" s="5" t="inlineStr"/>
    </row>
    <row r="77">
      <c r="A77" s="4" t="n">
        <v>76</v>
      </c>
      <c r="B77" s="4">
        <f>==== 07 | EXIT &amp; PROTECTION =====</f>
        <v/>
      </c>
      <c r="C77" s="5" t="inlineStr">
        <is>
          <t>InpReverseSignalExit</t>
        </is>
      </c>
      <c r="D77" s="5" t="inlineStr">
        <is>
          <t>bool</t>
        </is>
      </c>
      <c r="E77" s="5" t="inlineStr">
        <is>
          <t>false</t>
        </is>
      </c>
      <c r="F77" s="5" t="inlineStr">
        <is>
          <t>Exit when opposite signal appears</t>
        </is>
      </c>
      <c r="G77" s="5" t="inlineStr"/>
    </row>
    <row r="78">
      <c r="A78" s="4" t="n">
        <v>77</v>
      </c>
      <c r="B78" s="4">
        <f>==== 08 | SYMBOL CLASS AUTO-ADAPTATION =====</f>
        <v/>
      </c>
      <c r="C78" s="5" t="inlineStr">
        <is>
          <t>InpAutoClass</t>
        </is>
      </c>
      <c r="D78" s="5" t="inlineStr">
        <is>
          <t>bool</t>
        </is>
      </c>
      <c r="E78" s="5" t="inlineStr">
        <is>
          <t>true</t>
        </is>
      </c>
      <c r="F78" s="5" t="inlineStr">
        <is>
          <t>Auto-detect symbol class</t>
        </is>
      </c>
      <c r="G78" s="5" t="inlineStr"/>
    </row>
    <row r="79">
      <c r="A79" s="4" t="n">
        <v>78</v>
      </c>
      <c r="B79" s="4">
        <f>==== 08 | SYMBOL CLASS AUTO-ADAPTATION =====</f>
        <v/>
      </c>
      <c r="C79" s="5" t="inlineStr">
        <is>
          <t>InpClassOverride</t>
        </is>
      </c>
      <c r="D79" s="5" t="inlineStr">
        <is>
          <t>string</t>
        </is>
      </c>
      <c r="E79" s="5" t="inlineStr">
        <is>
          <t>""</t>
        </is>
      </c>
      <c r="F79" s="5" t="inlineStr">
        <is>
          <t>Force class: FOREX|CRYPTO|GOLD|OIL|INDEX|STOCKS|USDT</t>
        </is>
      </c>
      <c r="G79" s="5" t="inlineStr"/>
    </row>
    <row r="80">
      <c r="A80" s="4" t="n">
        <v>79</v>
      </c>
      <c r="B80" s="4">
        <f>==== 08 | SYMBOL CLASS AUTO-ADAPTATION =====</f>
        <v/>
      </c>
      <c r="C80" s="5" t="inlineStr">
        <is>
          <t>InpMaxHoldForex</t>
        </is>
      </c>
      <c r="D80" s="5" t="inlineStr">
        <is>
          <t>int</t>
        </is>
      </c>
      <c r="E80" s="5" t="inlineStr">
        <is>
          <t>32</t>
        </is>
      </c>
      <c r="F80" s="5" t="inlineStr">
        <is>
          <t>Max hold bars H1-equivalent: FOREX</t>
        </is>
      </c>
      <c r="G80" s="5" t="inlineStr"/>
    </row>
    <row r="81">
      <c r="A81" s="4" t="n">
        <v>80</v>
      </c>
      <c r="B81" s="4">
        <f>==== 08 | SYMBOL CLASS AUTO-ADAPTATION =====</f>
        <v/>
      </c>
      <c r="C81" s="5" t="inlineStr">
        <is>
          <t>InpMaxHoldCrypto</t>
        </is>
      </c>
      <c r="D81" s="5" t="inlineStr">
        <is>
          <t>int</t>
        </is>
      </c>
      <c r="E81" s="5" t="inlineStr">
        <is>
          <t>96</t>
        </is>
      </c>
      <c r="F81" s="5" t="inlineStr">
        <is>
          <t>Max hold bars H1-equivalent: CRYPTO/USDT</t>
        </is>
      </c>
      <c r="G81" s="5" t="inlineStr"/>
    </row>
    <row r="82">
      <c r="A82" s="4" t="n">
        <v>81</v>
      </c>
      <c r="B82" s="4">
        <f>==== 08 | SYMBOL CLASS AUTO-ADAPTATION =====</f>
        <v/>
      </c>
      <c r="C82" s="5" t="inlineStr">
        <is>
          <t>InpMaxHoldGold</t>
        </is>
      </c>
      <c r="D82" s="5" t="inlineStr">
        <is>
          <t>int</t>
        </is>
      </c>
      <c r="E82" s="5" t="inlineStr">
        <is>
          <t>28</t>
        </is>
      </c>
      <c r="F82" s="5" t="inlineStr">
        <is>
          <t>Max hold bars H1-equivalent: GOLD</t>
        </is>
      </c>
      <c r="G82" s="5" t="inlineStr"/>
    </row>
    <row r="83">
      <c r="A83" s="4" t="n">
        <v>82</v>
      </c>
      <c r="B83" s="4">
        <f>==== 08 | SYMBOL CLASS AUTO-ADAPTATION =====</f>
        <v/>
      </c>
      <c r="C83" s="5" t="inlineStr">
        <is>
          <t>InpMaxHoldOil</t>
        </is>
      </c>
      <c r="D83" s="5" t="inlineStr">
        <is>
          <t>int</t>
        </is>
      </c>
      <c r="E83" s="5" t="inlineStr">
        <is>
          <t>28</t>
        </is>
      </c>
      <c r="F83" s="5" t="inlineStr">
        <is>
          <t>Max hold bars H1-equivalent: OIL</t>
        </is>
      </c>
      <c r="G83" s="5" t="inlineStr"/>
    </row>
    <row r="84">
      <c r="A84" s="4" t="n">
        <v>83</v>
      </c>
      <c r="B84" s="4">
        <f>==== 08 | SYMBOL CLASS AUTO-ADAPTATION =====</f>
        <v/>
      </c>
      <c r="C84" s="5" t="inlineStr">
        <is>
          <t>InpMaxHoldIndex</t>
        </is>
      </c>
      <c r="D84" s="5" t="inlineStr">
        <is>
          <t>int</t>
        </is>
      </c>
      <c r="E84" s="5" t="inlineStr">
        <is>
          <t>24</t>
        </is>
      </c>
      <c r="F84" s="5" t="inlineStr">
        <is>
          <t>Max hold bars H1-equivalent: INDICES</t>
        </is>
      </c>
      <c r="G84" s="5" t="inlineStr"/>
    </row>
    <row r="85">
      <c r="A85" s="4" t="n">
        <v>84</v>
      </c>
      <c r="B85" s="4">
        <f>==== 08 | SYMBOL CLASS AUTO-ADAPTATION =====</f>
        <v/>
      </c>
      <c r="C85" s="5" t="inlineStr">
        <is>
          <t>InpMaxHoldStock</t>
        </is>
      </c>
      <c r="D85" s="5" t="inlineStr">
        <is>
          <t>int</t>
        </is>
      </c>
      <c r="E85" s="5" t="inlineStr">
        <is>
          <t>24</t>
        </is>
      </c>
      <c r="F85" s="5" t="inlineStr">
        <is>
          <t>Max hold bars H1-equivalent: STOCKS</t>
        </is>
      </c>
      <c r="G85" s="5" t="inlineStr"/>
    </row>
    <row r="86">
      <c r="A86" s="4" t="n">
        <v>85</v>
      </c>
      <c r="B86" s="4">
        <f>==== 08 | SYMBOL CLASS AUTO-ADAPTATION =====</f>
        <v/>
      </c>
      <c r="C86" s="5" t="inlineStr">
        <is>
          <t>InpMaxHoldOther</t>
        </is>
      </c>
      <c r="D86" s="5" t="inlineStr">
        <is>
          <t>int</t>
        </is>
      </c>
      <c r="E86" s="5" t="inlineStr">
        <is>
          <t>36</t>
        </is>
      </c>
      <c r="F86" s="5" t="inlineStr">
        <is>
          <t>Max hold bars H1-equivalent: OTHER</t>
        </is>
      </c>
      <c r="G8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10" customWidth="1" min="3" max="3"/>
  </cols>
  <sheetData>
    <row r="1">
      <c r="A1" s="3" t="inlineStr">
        <is>
          <t>Setting</t>
        </is>
      </c>
      <c r="B1" s="3" t="inlineStr">
        <is>
          <t>Default</t>
        </is>
      </c>
      <c r="C1" s="3" t="inlineStr">
        <is>
          <t>Why / recommendation</t>
        </is>
      </c>
    </row>
    <row r="2">
      <c r="A2" s="4" t="inlineStr">
        <is>
          <t>Sizing mode</t>
        </is>
      </c>
      <c r="B2" s="4" t="inlineStr">
        <is>
          <t>RISK_PERCENT</t>
        </is>
      </c>
      <c r="C2" s="5" t="inlineStr">
        <is>
          <t>1.0% per trade - recommended for survival (never raise above 2%)</t>
        </is>
      </c>
    </row>
    <row r="3">
      <c r="A3" s="4" t="inlineStr">
        <is>
          <t>Fixed lots</t>
        </is>
      </c>
      <c r="B3" s="4" t="inlineStr">
        <is>
          <t>0.01</t>
        </is>
      </c>
      <c r="C3" s="5" t="inlineStr">
        <is>
          <t>Used when mode = FIXED, or as fallback when tick data is missing</t>
        </is>
      </c>
    </row>
    <row r="4">
      <c r="A4" s="4" t="inlineStr">
        <is>
          <t>Daily loss limit</t>
        </is>
      </c>
      <c r="B4" s="4" t="inlineStr">
        <is>
          <t>3.0%</t>
        </is>
      </c>
      <c r="C4" s="5" t="inlineStr">
        <is>
          <t>Closes all &amp; halts until next day. THE key account-survival switch</t>
        </is>
      </c>
    </row>
    <row r="5">
      <c r="A5" s="4" t="inlineStr">
        <is>
          <t>Max open positions</t>
        </is>
      </c>
      <c r="B5" s="4" t="inlineStr">
        <is>
          <t>1</t>
        </is>
      </c>
      <c r="C5" s="5" t="inlineStr">
        <is>
          <t>One position per symbol - no averaging/grid.</t>
        </is>
      </c>
    </row>
    <row r="6">
      <c r="A6" s="4" t="inlineStr">
        <is>
          <t>Max daily trades</t>
        </is>
      </c>
      <c r="B6" s="4" t="inlineStr">
        <is>
          <t>8</t>
        </is>
      </c>
      <c r="C6" s="5" t="inlineStr">
        <is>
          <t>Prevents over-trading; 0 = unlimited</t>
        </is>
      </c>
    </row>
    <row r="7">
      <c r="A7" s="4" t="inlineStr">
        <is>
          <t>Global DD stop</t>
        </is>
      </c>
      <c r="B7" s="4" t="inlineStr">
        <is>
          <t>0.0</t>
        </is>
      </c>
      <c r="C7" s="5" t="inlineStr">
        <is>
          <t>Optional hard stop from peak equity (suggest 10-15% for prop firms)</t>
        </is>
      </c>
    </row>
    <row r="8">
      <c r="A8" s="4" t="inlineStr">
        <is>
          <t>Volume rounding</t>
        </is>
      </c>
      <c r="B8" s="4" t="inlineStr">
        <is>
          <t>VOLUME_STEP</t>
        </is>
      </c>
      <c r="C8" s="5" t="inlineStr">
        <is>
          <t>Auto-detected per symbol (0.001 / 0.01 / 1.0 ...) - never hard 2 decimals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6" customWidth="1" min="4" max="4"/>
    <col width="16" customWidth="1" min="5" max="5"/>
    <col width="16" customWidth="1" min="6" max="6"/>
  </cols>
  <sheetData>
    <row r="1">
      <c r="A1" s="3" t="inlineStr">
        <is>
          <t>Class</t>
        </is>
      </c>
      <c r="B1" s="3" t="inlineStr">
        <is>
          <t>Example symbols</t>
        </is>
      </c>
      <c r="C1" s="3" t="inlineStr">
        <is>
          <t>Max hold (H1-equivalent)</t>
        </is>
      </c>
      <c r="D1" s="3" t="inlineStr">
        <is>
          <t>News blackout</t>
        </is>
      </c>
      <c r="E1" s="3" t="inlineStr">
        <is>
          <t>Weekend guard</t>
        </is>
      </c>
      <c r="F1" s="3" t="inlineStr">
        <is>
          <t>Session filter</t>
        </is>
      </c>
    </row>
    <row r="2">
      <c r="A2" s="4" t="inlineStr">
        <is>
          <t>FOREX</t>
        </is>
      </c>
      <c r="B2" s="4" t="inlineStr">
        <is>
          <t>EURUSD GBPJPY AUDCAD...</t>
        </is>
      </c>
      <c r="C2" s="5" t="inlineStr">
        <is>
          <t>32 bars (H1)</t>
        </is>
      </c>
      <c r="D2" s="5" t="inlineStr">
        <is>
          <t>ON (13-16 server)</t>
        </is>
      </c>
      <c r="E2" s="5" t="inlineStr">
        <is>
          <t>OFF</t>
        </is>
      </c>
      <c r="F2" s="5" t="inlineStr">
        <is>
          <t>Yes</t>
        </is>
      </c>
    </row>
    <row r="3">
      <c r="A3" s="4" t="inlineStr">
        <is>
          <t>GOLD/METAL</t>
        </is>
      </c>
      <c r="B3" s="4" t="inlineStr">
        <is>
          <t>XAUUSD XAGUSD GOLD</t>
        </is>
      </c>
      <c r="C3" s="5" t="inlineStr">
        <is>
          <t>28 bars (H1)</t>
        </is>
      </c>
      <c r="D3" s="5" t="inlineStr">
        <is>
          <t>ON</t>
        </is>
      </c>
      <c r="E3" s="5" t="inlineStr">
        <is>
          <t>OFF</t>
        </is>
      </c>
      <c r="F3" s="5" t="inlineStr">
        <is>
          <t>Yes</t>
        </is>
      </c>
    </row>
    <row r="4">
      <c r="A4" s="4" t="inlineStr">
        <is>
          <t>ENERGY/OIL</t>
        </is>
      </c>
      <c r="B4" s="4" t="inlineStr">
        <is>
          <t>USOIL WTI BRENT NGAS</t>
        </is>
      </c>
      <c r="C4" s="5" t="inlineStr">
        <is>
          <t>28 bars (H1)</t>
        </is>
      </c>
      <c r="D4" s="5" t="inlineStr">
        <is>
          <t>ON</t>
        </is>
      </c>
      <c r="E4" s="5" t="inlineStr">
        <is>
          <t>OFF</t>
        </is>
      </c>
      <c r="F4" s="5" t="inlineStr">
        <is>
          <t>Yes</t>
        </is>
      </c>
    </row>
    <row r="5">
      <c r="A5" s="4" t="inlineStr">
        <is>
          <t>INDEX</t>
        </is>
      </c>
      <c r="B5" s="4" t="inlineStr">
        <is>
          <t>US30 NAS100 DE40 SPX500</t>
        </is>
      </c>
      <c r="C5" s="5" t="inlineStr">
        <is>
          <t>24 bars (H1)</t>
        </is>
      </c>
      <c r="D5" s="5" t="inlineStr">
        <is>
          <t>ON</t>
        </is>
      </c>
      <c r="E5" s="5" t="inlineStr">
        <is>
          <t>OFF</t>
        </is>
      </c>
      <c r="F5" s="5" t="inlineStr">
        <is>
          <t>Yes</t>
        </is>
      </c>
    </row>
    <row r="6">
      <c r="A6" s="4" t="inlineStr">
        <is>
          <t>STOCK</t>
        </is>
      </c>
      <c r="B6" s="4" t="inlineStr">
        <is>
          <t>AAPL.US TSLA.US #MSFT</t>
        </is>
      </c>
      <c r="C6" s="5" t="inlineStr">
        <is>
          <t>24 bars (H1)</t>
        </is>
      </c>
      <c r="D6" s="5" t="inlineStr">
        <is>
          <t>ON</t>
        </is>
      </c>
      <c r="E6" s="5" t="inlineStr">
        <is>
          <t>OFF</t>
        </is>
      </c>
      <c r="F6" s="5" t="inlineStr">
        <is>
          <t>Yes</t>
        </is>
      </c>
    </row>
    <row r="7">
      <c r="A7" s="4" t="inlineStr">
        <is>
          <t>CRYPTO</t>
        </is>
      </c>
      <c r="B7" s="4" t="inlineStr">
        <is>
          <t>BTCUSD ETHUSD SOLUSD</t>
        </is>
      </c>
      <c r="C7" s="5" t="inlineStr">
        <is>
          <t>96 bars (H1)</t>
        </is>
      </c>
      <c r="D7" s="5" t="inlineStr">
        <is>
          <t>IGNORED (24/7)</t>
        </is>
      </c>
      <c r="E7" s="5" t="inlineStr">
        <is>
          <t>No</t>
        </is>
      </c>
      <c r="F7" s="5" t="inlineStr">
        <is>
          <t>Optional</t>
        </is>
      </c>
    </row>
    <row r="8">
      <c r="A8" s="4" t="inlineStr">
        <is>
          <t>USDT-linked</t>
        </is>
      </c>
      <c r="B8" s="4" t="inlineStr">
        <is>
          <t>BTCUSDT ETHUSDT XRPUSDT...</t>
        </is>
      </c>
      <c r="C8" s="5" t="inlineStr">
        <is>
          <t>96 bars (H1)</t>
        </is>
      </c>
      <c r="D8" s="5" t="inlineStr">
        <is>
          <t>IGNORED (24/7)</t>
        </is>
      </c>
      <c r="E8" s="5" t="inlineStr">
        <is>
          <t>No</t>
        </is>
      </c>
      <c r="F8" s="5" t="inlineStr">
        <is>
          <t>Optional</t>
        </is>
      </c>
    </row>
    <row r="9">
      <c r="A9" s="4" t="inlineStr">
        <is>
          <t>OTHER</t>
        </is>
      </c>
      <c r="B9" s="4" t="inlineStr">
        <is>
          <t>Any custom</t>
        </is>
      </c>
      <c r="C9" s="5" t="inlineStr">
        <is>
          <t>36 bars (H1)</t>
        </is>
      </c>
      <c r="D9" s="5" t="inlineStr">
        <is>
          <t>ON</t>
        </is>
      </c>
      <c r="E9" s="5" t="inlineStr">
        <is>
          <t>OFF</t>
        </is>
      </c>
      <c r="F9" s="5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0" customWidth="1" min="3" max="3"/>
  </cols>
  <sheetData>
    <row r="1">
      <c r="A1" s="3" t="inlineStr">
        <is>
          <t>Input</t>
        </is>
      </c>
      <c r="B1" s="3" t="inlineStr">
        <is>
          <t>Default</t>
        </is>
      </c>
      <c r="C1" s="3" t="inlineStr">
        <is>
          <t>Purpose</t>
        </is>
      </c>
    </row>
    <row r="2">
      <c r="A2" s="4" t="inlineStr">
        <is>
          <t>InpFridayCutoffHour</t>
        </is>
      </c>
      <c r="B2" s="4" t="inlineStr">
        <is>
          <t>20</t>
        </is>
      </c>
      <c r="C2" s="5" t="inlineStr">
        <is>
          <t>Server hour after which NO new trades on Friday</t>
        </is>
      </c>
    </row>
    <row r="3">
      <c r="A3" s="4" t="inlineStr">
        <is>
          <t>InpFridayLeadMinutes</t>
        </is>
      </c>
      <c r="B3" s="4" t="inlineStr">
        <is>
          <t>60</t>
        </is>
      </c>
      <c r="C3" s="5" t="inlineStr">
        <is>
          <t>Protection fires 1h before cutoff (19:00): close all / BE</t>
        </is>
      </c>
    </row>
    <row r="4">
      <c r="A4" s="4" t="inlineStr">
        <is>
          <t>InpFridayAction</t>
        </is>
      </c>
      <c r="B4" s="4" t="inlineStr">
        <is>
          <t>CLOSE_ALL</t>
        </is>
      </c>
      <c r="C4" s="5" t="inlineStr">
        <is>
          <t>Most protective. Alternatives: BREAKEVEN, CLOSE_PROFIT_BE_LOSS</t>
        </is>
      </c>
    </row>
    <row r="5">
      <c r="A5" s="4" t="inlineStr">
        <is>
          <t>InpSundayBlockMinutes</t>
        </is>
      </c>
      <c r="B5" s="4" t="inlineStr">
        <is>
          <t>120</t>
        </is>
      </c>
      <c r="C5" s="5" t="inlineStr">
        <is>
          <t>No new entries for first 2h after Sunday reopen (gap window)</t>
        </is>
      </c>
    </row>
    <row r="6">
      <c r="A6" s="4" t="inlineStr">
        <is>
          <t>InpApplyGuardCrypto</t>
        </is>
      </c>
      <c r="B6" s="4" t="inlineStr">
        <is>
          <t>false</t>
        </is>
      </c>
      <c r="C6" s="5" t="inlineStr">
        <is>
          <t>Set true only if your crypto CFD broker also closes weekends</t>
        </is>
      </c>
    </row>
    <row r="7">
      <c r="A7" s="4" t="inlineStr">
        <is>
          <t>Priority</t>
        </is>
      </c>
      <c r="B7" s="4" t="inlineStr">
        <is>
          <t>GOLD &gt; INDICES &gt; STOCKS &gt; OIL &gt; FOREX</t>
        </is>
      </c>
      <c r="C7" s="5" t="inlineStr">
        <is>
          <t>Metals/indices gap hardest - always guarded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10" customWidth="1" min="3" max="3"/>
  </cols>
  <sheetData>
    <row r="1">
      <c r="A1" s="3" t="inlineStr">
        <is>
          <t>Profile</t>
        </is>
      </c>
      <c r="B1" s="3" t="inlineStr">
        <is>
          <t>Set file</t>
        </is>
      </c>
      <c r="C1" s="3" t="inlineStr">
        <is>
          <t>Configuration</t>
        </is>
      </c>
    </row>
    <row r="2">
      <c r="A2" s="4" t="inlineStr">
        <is>
          <t>PRO (default)</t>
        </is>
      </c>
      <c r="B2" s="4" t="inlineStr">
        <is>
          <t>NovaGravity_AI_EA.set</t>
        </is>
      </c>
      <c r="C2" s="5" t="inlineStr">
        <is>
          <t>Risk 1%, daily loss 3%, partial at 1R -&gt; BE, trail, time-stop, news ON, Friday CLOSE_ALL</t>
        </is>
      </c>
    </row>
    <row r="3">
      <c r="A3" s="4" t="inlineStr">
        <is>
          <t>CONSERVATIVE</t>
        </is>
      </c>
      <c r="B3" s="4" t="inlineStr">
        <is>
          <t>NovaGravity_AI_Pro_Conservative.set</t>
        </is>
      </c>
      <c r="C3" s="5" t="inlineStr">
        <is>
          <t>Risk 0.5%, daily loss 2%, sessions ON, ADX 25, MaxHold tighter, trailing sooner</t>
        </is>
      </c>
    </row>
    <row r="4">
      <c r="A4" s="4" t="inlineStr">
        <is>
          <t>CRYPTO 24/7</t>
        </is>
      </c>
      <c r="B4" s="4" t="inlineStr">
        <is>
          <t>NovaGravity_AI_Crypto_24-7.set</t>
        </is>
      </c>
      <c r="C4" s="5" t="inlineStr">
        <is>
          <t>Risk 1%, news OFF, weekend guard OFF, hold 96 bars, ATR filters adaptive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0" customWidth="1" min="2" max="2"/>
  </cols>
  <sheetData>
    <row r="1">
      <c r="A1" s="3" t="inlineStr">
        <is>
          <t>#</t>
        </is>
      </c>
      <c r="B1" s="3" t="inlineStr">
        <is>
          <t>Action</t>
        </is>
      </c>
    </row>
    <row r="2">
      <c r="A2" s="4" t="inlineStr">
        <is>
          <t>1</t>
        </is>
      </c>
      <c r="B2" s="4" t="inlineStr">
        <is>
          <t>Copy NOVA folder into  MQL5/Experts/  (File &gt; Open Data Folder)</t>
        </is>
      </c>
    </row>
    <row r="3">
      <c r="A3" s="4" t="inlineStr">
        <is>
          <t>2</t>
        </is>
      </c>
      <c r="B3" s="4" t="inlineStr">
        <is>
          <t>Compile: MetaEditor (F7). Fix zero errors before attaching</t>
        </is>
      </c>
    </row>
    <row r="4">
      <c r="A4" s="4" t="inlineStr">
        <is>
          <t>3</t>
        </is>
      </c>
      <c r="B4" s="4" t="inlineStr">
        <is>
          <t>Attach to chart -&gt; Properties -&gt; Inputs -&gt; Load -&gt; NovaGravity_AI_EA.set</t>
        </is>
      </c>
    </row>
    <row r="5">
      <c r="A5" s="4" t="inlineStr">
        <is>
          <t>4</t>
        </is>
      </c>
      <c r="B5" s="4" t="inlineStr">
        <is>
          <t>Tester: choose symbol/TF/dates -&gt; run 'Every tick based on real ticks' recommended</t>
        </is>
      </c>
    </row>
    <row r="6">
      <c r="A6" s="4" t="inlineStr">
        <is>
          <t>5</t>
        </is>
      </c>
      <c r="B6" s="4" t="inlineStr">
        <is>
          <t>Verify on-chart panel: class, TF, regime, spread, session, positions</t>
        </is>
      </c>
    </row>
    <row r="7">
      <c r="A7" s="4" t="inlineStr">
        <is>
          <t>6</t>
        </is>
      </c>
      <c r="B7" s="4" t="inlineStr">
        <is>
          <t>Check Experts log for INIT OK and class detection line</t>
        </is>
      </c>
    </row>
    <row r="8">
      <c r="A8" s="4" t="inlineStr">
        <is>
          <t>7</t>
        </is>
      </c>
      <c r="B8" s="4" t="inlineStr">
        <is>
          <t>Demo 2-4 weeks BEFORE live. Never raise risk &gt; 1-2% per trade</t>
        </is>
      </c>
    </row>
    <row r="9">
      <c r="A9" s="4" t="inlineStr">
        <is>
          <t>8</t>
        </is>
      </c>
      <c r="B9" s="4" t="inlineStr">
        <is>
          <t>Export tester report (HTML) and import into the Dashboard for analysis</t>
        </is>
      </c>
    </row>
    <row r="10">
      <c r="A10" s="4" t="inlineStr">
        <is>
          <t>9</t>
        </is>
      </c>
      <c r="B10" s="4" t="inlineStr">
        <is>
          <t>Check spread &amp; commissions of your broker against the dashboard cost report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0" customWidth="1" min="3" max="3"/>
  </cols>
  <sheetData>
    <row r="1">
      <c r="A1" s="3" t="inlineStr">
        <is>
          <t>Version</t>
        </is>
      </c>
      <c r="B1" s="3" t="inlineStr">
        <is>
          <t>Date</t>
        </is>
      </c>
      <c r="C1" s="3" t="inlineStr">
        <is>
          <t>Summary</t>
        </is>
      </c>
    </row>
    <row r="2">
      <c r="A2" s="4" t="inlineStr">
        <is>
          <t>v1.00</t>
        </is>
      </c>
      <c r="B2" s="4" t="inlineStr">
        <is>
          <t>2026-08-25</t>
        </is>
      </c>
      <c r="C2" s="5" t="inlineStr">
        <is>
          <t>Complete rebuild: auto symbol-class &amp; timeframe detection; Friday weekend guard (close/BE 1h before cutoff); QUIET=wait &amp; VOLATILE=range-only; partial -&gt; immediate breakeven lock; per-class max-hold time stop; gap filter extended to gold/oil/all classes; news blackout (13-16 server, extended Friday, crypto exempt); server GMT offset auto-detect; VOLUME_STEP lot rounding; pullback EMA21/55 + BB mid entries with HTF alignment; anti-chase filter; daily loss limit; optional global DD stop; on-chart panel.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2026-08-25T01:27:47Z</dcterms:created>
  <dcterms:modified xsi:type="dcterms:W3CDTF">2026-08-25T01:27:47Z</dcterms:modified>
</cp:coreProperties>
</file>